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dib35_cam_ac_uk/Documents/University/1. Michaelmas/ETB2 - Renewables 1 - Wind, Wave, Tidal and Hydro/Assignments/Wind Turbine Project/CAD Tutorials/ETB2-cad-tutorial-files/spreadsheet/"/>
    </mc:Choice>
  </mc:AlternateContent>
  <xr:revisionPtr revIDLastSave="1" documentId="11_84C978EACE30069A784581D1EC9000D38F61F898" xr6:coauthVersionLast="47" xr6:coauthVersionMax="47" xr10:uidLastSave="{88F9856A-8F52-4A19-8231-1088EA6E2C10}"/>
  <bookViews>
    <workbookView xWindow="-120" yWindow="-120" windowWidth="29040" windowHeight="15720" xr2:uid="{00000000-000D-0000-FFFF-FFFF00000000}"/>
  </bookViews>
  <sheets>
    <sheet name="Blade" sheetId="1" r:id="rId1"/>
    <sheet name="NACA0012 section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C27" i="1"/>
  <c r="B27" i="1"/>
  <c r="D27" i="1" s="1"/>
  <c r="A27" i="1"/>
  <c r="F26" i="1"/>
  <c r="A26" i="1"/>
  <c r="B26" i="1" s="1"/>
  <c r="F25" i="1"/>
  <c r="B25" i="1"/>
  <c r="C25" i="1" s="1"/>
  <c r="A25" i="1"/>
  <c r="F24" i="1"/>
  <c r="A24" i="1"/>
  <c r="B24" i="1" s="1"/>
  <c r="F23" i="1"/>
  <c r="B23" i="1"/>
  <c r="D23" i="1" s="1"/>
  <c r="A23" i="1"/>
  <c r="F22" i="1"/>
  <c r="A22" i="1"/>
  <c r="B22" i="1" s="1"/>
  <c r="F21" i="1"/>
  <c r="B21" i="1"/>
  <c r="D21" i="1" s="1"/>
  <c r="A21" i="1"/>
  <c r="F20" i="1"/>
  <c r="A20" i="1"/>
  <c r="B20" i="1" s="1"/>
  <c r="F19" i="1"/>
  <c r="B19" i="1"/>
  <c r="C19" i="1" s="1"/>
  <c r="A19" i="1"/>
  <c r="E24" i="1" l="1"/>
  <c r="D24" i="1"/>
  <c r="C24" i="1"/>
  <c r="E20" i="1"/>
  <c r="D20" i="1"/>
  <c r="C20" i="1"/>
  <c r="E26" i="1"/>
  <c r="D26" i="1"/>
  <c r="C26" i="1"/>
  <c r="D22" i="1"/>
  <c r="E22" i="1"/>
  <c r="C22" i="1"/>
  <c r="C23" i="1"/>
  <c r="D19" i="1"/>
  <c r="D25" i="1"/>
  <c r="E19" i="1"/>
  <c r="E21" i="1"/>
  <c r="E23" i="1"/>
  <c r="E25" i="1"/>
  <c r="E27" i="1"/>
  <c r="C21" i="1"/>
</calcChain>
</file>

<file path=xl/sharedStrings.xml><?xml version="1.0" encoding="utf-8"?>
<sst xmlns="http://schemas.openxmlformats.org/spreadsheetml/2006/main" count="38" uniqueCount="32">
  <si>
    <t>ETB2 — simple blade profile (input for the CAD tutorial)</t>
  </si>
  <si>
    <t>Yellow cells are inputs — change them and the table below updates. Everything else is a formula.</t>
  </si>
  <si>
    <t>Input</t>
  </si>
  <si>
    <t>Value</t>
  </si>
  <si>
    <t>Units</t>
  </si>
  <si>
    <t>Tip radius R_tip</t>
  </si>
  <si>
    <t>mm</t>
  </si>
  <si>
    <t>Root station r_root (aerofoil starts)</t>
  </si>
  <si>
    <t>Hub diameter</t>
  </si>
  <si>
    <t>Hub length</t>
  </si>
  <si>
    <t>Number of blades</t>
  </si>
  <si>
    <t>Root chord c_root</t>
  </si>
  <si>
    <t>Tip chord c_tip</t>
  </si>
  <si>
    <t>Root twist</t>
  </si>
  <si>
    <t>deg</t>
  </si>
  <si>
    <t>Tip twist</t>
  </si>
  <si>
    <t>Aerofoil section</t>
  </si>
  <si>
    <t>NACA0012</t>
  </si>
  <si>
    <t>Pitch axis (fraction of chord)</t>
  </si>
  <si>
    <t>c</t>
  </si>
  <si>
    <t>Number of stations N</t>
  </si>
  <si>
    <t>Stations (all formulas; the table has 9 rows, so if you change N, add or delete rows by copying the last row).</t>
  </si>
  <si>
    <t>Station i</t>
  </si>
  <si>
    <t>r (mm)</t>
  </si>
  <si>
    <t>r/R</t>
  </si>
  <si>
    <t>chord c (mm)</t>
  </si>
  <si>
    <t>twist (deg)</t>
  </si>
  <si>
    <t>section</t>
  </si>
  <si>
    <t>NACA 0012 section coordinates</t>
  </si>
  <si>
    <t>Normalised coordinates (unit chord): x/c runs from 0 at the leading edge to 1 at the trailing edge. Upper surface LE to TE, then lower surface TE to LE. Import into CAD or read in code.</t>
  </si>
  <si>
    <t>x/c</t>
  </si>
  <si>
    <t>y/c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</si>
</sst>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4" x14ac:knownFonts="1">
    <font>
      <sz val="11"/>
      <color theme="1"/>
      <name val="Calibri"/>
      <family val="2"/>
      <scheme val="minor"/>
    </font>
    <font>
      <b/>
      <sz val="14"/>
      <color rgb="FF004896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48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/>
    <xf numFmtId="164" fontId="0" fillId="3" borderId="1" xfId="0" applyNumberFormat="1" applyFill="1" applyBorder="1"/>
    <xf numFmtId="1" fontId="0" fillId="3" borderId="1" xfId="0" applyNumberFormat="1" applyFill="1" applyBorder="1"/>
    <xf numFmtId="49" fontId="0" fillId="3" borderId="1" xfId="0" applyNumberFormat="1" applyFill="1" applyBorder="1"/>
    <xf numFmtId="2" fontId="0" fillId="3" borderId="1" xfId="0" applyNumberFormat="1" applyFill="1" applyBorder="1"/>
    <xf numFmtId="1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49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ZA"/>
              <a:t>Chord and twist vs radius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chord c (mm)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Blade!$B$19:$B$27</c:f>
              <c:numCache>
                <c:formatCode>0.000</c:formatCode>
                <c:ptCount val="9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</c:numCache>
            </c:numRef>
          </c:xVal>
          <c:yVal>
            <c:numRef>
              <c:f>Blade!$D$19:$D$27</c:f>
              <c:numCache>
                <c:formatCode>0.000</c:formatCode>
                <c:ptCount val="9"/>
                <c:pt idx="0">
                  <c:v>24</c:v>
                </c:pt>
                <c:pt idx="1">
                  <c:v>22.125</c:v>
                </c:pt>
                <c:pt idx="2">
                  <c:v>20.25</c:v>
                </c:pt>
                <c:pt idx="3">
                  <c:v>18.375</c:v>
                </c:pt>
                <c:pt idx="4">
                  <c:v>16.5</c:v>
                </c:pt>
                <c:pt idx="5">
                  <c:v>14.625</c:v>
                </c:pt>
                <c:pt idx="6">
                  <c:v>12.75</c:v>
                </c:pt>
                <c:pt idx="7">
                  <c:v>10.875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8E-470D-B0BE-E4C8003548CB}"/>
            </c:ext>
          </c:extLst>
        </c:ser>
        <c:ser>
          <c:idx val="1"/>
          <c:order val="1"/>
          <c:tx>
            <c:v>twist (deg)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Blade!$B$19:$B$27</c:f>
              <c:numCache>
                <c:formatCode>0.000</c:formatCode>
                <c:ptCount val="9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</c:numCache>
            </c:numRef>
          </c:xVal>
          <c:yVal>
            <c:numRef>
              <c:f>Blade!$E$19:$E$27</c:f>
              <c:numCache>
                <c:formatCode>0.00</c:formatCode>
                <c:ptCount val="9"/>
                <c:pt idx="0">
                  <c:v>25</c:v>
                </c:pt>
                <c:pt idx="1">
                  <c:v>22.5</c:v>
                </c:pt>
                <c:pt idx="2">
                  <c:v>20</c:v>
                </c:pt>
                <c:pt idx="3">
                  <c:v>17.5</c:v>
                </c:pt>
                <c:pt idx="4">
                  <c:v>15</c:v>
                </c:pt>
                <c:pt idx="5">
                  <c:v>12.5</c:v>
                </c:pt>
                <c:pt idx="6">
                  <c:v>10</c:v>
                </c:pt>
                <c:pt idx="7">
                  <c:v>7.5</c:v>
                </c:pt>
                <c:pt idx="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8E-470D-B0BE-E4C800354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r (mm)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chord (mm) / twist (deg)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/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4" customWidth="1"/>
    <col min="5" max="6" width="12" customWidth="1"/>
  </cols>
  <sheetData>
    <row r="1" spans="1:3" ht="18.75" x14ac:dyDescent="0.3">
      <c r="A1" s="1" t="s">
        <v>0</v>
      </c>
    </row>
    <row r="2" spans="1:3" x14ac:dyDescent="0.25">
      <c r="A2" s="2" t="s">
        <v>1</v>
      </c>
    </row>
    <row r="3" spans="1:3" x14ac:dyDescent="0.25">
      <c r="A3" s="3" t="s">
        <v>2</v>
      </c>
      <c r="B3" s="3" t="s">
        <v>3</v>
      </c>
      <c r="C3" s="3" t="s">
        <v>4</v>
      </c>
    </row>
    <row r="4" spans="1:3" x14ac:dyDescent="0.25">
      <c r="A4" s="4" t="s">
        <v>5</v>
      </c>
      <c r="B4" s="5">
        <v>100</v>
      </c>
      <c r="C4" s="4" t="s">
        <v>6</v>
      </c>
    </row>
    <row r="5" spans="1:3" x14ac:dyDescent="0.25">
      <c r="A5" s="4" t="s">
        <v>7</v>
      </c>
      <c r="B5" s="5">
        <v>20</v>
      </c>
      <c r="C5" s="4" t="s">
        <v>6</v>
      </c>
    </row>
    <row r="6" spans="1:3" x14ac:dyDescent="0.25">
      <c r="A6" s="4" t="s">
        <v>8</v>
      </c>
      <c r="B6" s="5">
        <v>36</v>
      </c>
      <c r="C6" s="4" t="s">
        <v>6</v>
      </c>
    </row>
    <row r="7" spans="1:3" x14ac:dyDescent="0.25">
      <c r="A7" s="4" t="s">
        <v>9</v>
      </c>
      <c r="B7" s="5">
        <v>20</v>
      </c>
      <c r="C7" s="4" t="s">
        <v>6</v>
      </c>
    </row>
    <row r="8" spans="1:3" x14ac:dyDescent="0.25">
      <c r="A8" s="4" t="s">
        <v>10</v>
      </c>
      <c r="B8" s="6">
        <v>3</v>
      </c>
      <c r="C8" s="4"/>
    </row>
    <row r="9" spans="1:3" x14ac:dyDescent="0.25">
      <c r="A9" s="4" t="s">
        <v>11</v>
      </c>
      <c r="B9" s="5">
        <v>24</v>
      </c>
      <c r="C9" s="4" t="s">
        <v>6</v>
      </c>
    </row>
    <row r="10" spans="1:3" x14ac:dyDescent="0.25">
      <c r="A10" s="4" t="s">
        <v>12</v>
      </c>
      <c r="B10" s="5">
        <v>9</v>
      </c>
      <c r="C10" s="4" t="s">
        <v>6</v>
      </c>
    </row>
    <row r="11" spans="1:3" x14ac:dyDescent="0.25">
      <c r="A11" s="4" t="s">
        <v>13</v>
      </c>
      <c r="B11" s="5">
        <v>25</v>
      </c>
      <c r="C11" s="4" t="s">
        <v>14</v>
      </c>
    </row>
    <row r="12" spans="1:3" x14ac:dyDescent="0.25">
      <c r="A12" s="4" t="s">
        <v>15</v>
      </c>
      <c r="B12" s="5">
        <v>5</v>
      </c>
      <c r="C12" s="4" t="s">
        <v>14</v>
      </c>
    </row>
    <row r="13" spans="1:3" x14ac:dyDescent="0.25">
      <c r="A13" s="4" t="s">
        <v>16</v>
      </c>
      <c r="B13" s="7" t="s">
        <v>17</v>
      </c>
      <c r="C13" s="4"/>
    </row>
    <row r="14" spans="1:3" x14ac:dyDescent="0.25">
      <c r="A14" s="4" t="s">
        <v>18</v>
      </c>
      <c r="B14" s="8">
        <v>0.25</v>
      </c>
      <c r="C14" s="4" t="s">
        <v>19</v>
      </c>
    </row>
    <row r="15" spans="1:3" x14ac:dyDescent="0.25">
      <c r="A15" s="4" t="s">
        <v>20</v>
      </c>
      <c r="B15" s="6">
        <v>9</v>
      </c>
      <c r="C15" s="4"/>
    </row>
    <row r="17" spans="1:6" x14ac:dyDescent="0.25">
      <c r="A17" s="2" t="s">
        <v>21</v>
      </c>
    </row>
    <row r="18" spans="1:6" ht="30" customHeight="1" x14ac:dyDescent="0.25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  <c r="F18" s="3" t="s">
        <v>27</v>
      </c>
    </row>
    <row r="19" spans="1:6" x14ac:dyDescent="0.25">
      <c r="A19" s="9">
        <f t="shared" ref="A19:A27" si="0">ROW()-ROW($A$18)</f>
        <v>1</v>
      </c>
      <c r="B19" s="10">
        <f t="shared" ref="B19:B27" si="1">$B$5+($B$4-$B$5)*(A19-1)/($B$15-1)</f>
        <v>20</v>
      </c>
      <c r="C19" s="10">
        <f t="shared" ref="C19:C27" si="2">B19/$B$4</f>
        <v>0.2</v>
      </c>
      <c r="D19" s="10">
        <f t="shared" ref="D19:D27" si="3">$B$9+($B$10-$B$9)*(B19-$B$5)/($B$4-$B$5)</f>
        <v>24</v>
      </c>
      <c r="E19" s="11">
        <f t="shared" ref="E19:E27" si="4">$B$11+($B$12-$B$11)*(B19-$B$5)/($B$4-$B$5)</f>
        <v>25</v>
      </c>
      <c r="F19" s="12" t="str">
        <f t="shared" ref="F19:F27" si="5">$B$13</f>
        <v>NACA0012</v>
      </c>
    </row>
    <row r="20" spans="1:6" x14ac:dyDescent="0.25">
      <c r="A20" s="9">
        <f t="shared" si="0"/>
        <v>2</v>
      </c>
      <c r="B20" s="10">
        <f t="shared" si="1"/>
        <v>30</v>
      </c>
      <c r="C20" s="10">
        <f t="shared" si="2"/>
        <v>0.3</v>
      </c>
      <c r="D20" s="10">
        <f t="shared" si="3"/>
        <v>22.125</v>
      </c>
      <c r="E20" s="11">
        <f t="shared" si="4"/>
        <v>22.5</v>
      </c>
      <c r="F20" s="12" t="str">
        <f t="shared" si="5"/>
        <v>NACA0012</v>
      </c>
    </row>
    <row r="21" spans="1:6" x14ac:dyDescent="0.25">
      <c r="A21" s="9">
        <f t="shared" si="0"/>
        <v>3</v>
      </c>
      <c r="B21" s="10">
        <f t="shared" si="1"/>
        <v>40</v>
      </c>
      <c r="C21" s="10">
        <f t="shared" si="2"/>
        <v>0.4</v>
      </c>
      <c r="D21" s="10">
        <f t="shared" si="3"/>
        <v>20.25</v>
      </c>
      <c r="E21" s="11">
        <f t="shared" si="4"/>
        <v>20</v>
      </c>
      <c r="F21" s="12" t="str">
        <f t="shared" si="5"/>
        <v>NACA0012</v>
      </c>
    </row>
    <row r="22" spans="1:6" x14ac:dyDescent="0.25">
      <c r="A22" s="9">
        <f t="shared" si="0"/>
        <v>4</v>
      </c>
      <c r="B22" s="10">
        <f t="shared" si="1"/>
        <v>50</v>
      </c>
      <c r="C22" s="10">
        <f t="shared" si="2"/>
        <v>0.5</v>
      </c>
      <c r="D22" s="10">
        <f t="shared" si="3"/>
        <v>18.375</v>
      </c>
      <c r="E22" s="11">
        <f t="shared" si="4"/>
        <v>17.5</v>
      </c>
      <c r="F22" s="12" t="str">
        <f t="shared" si="5"/>
        <v>NACA0012</v>
      </c>
    </row>
    <row r="23" spans="1:6" x14ac:dyDescent="0.25">
      <c r="A23" s="9">
        <f t="shared" si="0"/>
        <v>5</v>
      </c>
      <c r="B23" s="10">
        <f t="shared" si="1"/>
        <v>60</v>
      </c>
      <c r="C23" s="10">
        <f t="shared" si="2"/>
        <v>0.6</v>
      </c>
      <c r="D23" s="10">
        <f t="shared" si="3"/>
        <v>16.5</v>
      </c>
      <c r="E23" s="11">
        <f t="shared" si="4"/>
        <v>15</v>
      </c>
      <c r="F23" s="12" t="str">
        <f t="shared" si="5"/>
        <v>NACA0012</v>
      </c>
    </row>
    <row r="24" spans="1:6" x14ac:dyDescent="0.25">
      <c r="A24" s="9">
        <f t="shared" si="0"/>
        <v>6</v>
      </c>
      <c r="B24" s="10">
        <f t="shared" si="1"/>
        <v>70</v>
      </c>
      <c r="C24" s="10">
        <f t="shared" si="2"/>
        <v>0.7</v>
      </c>
      <c r="D24" s="10">
        <f t="shared" si="3"/>
        <v>14.625</v>
      </c>
      <c r="E24" s="11">
        <f t="shared" si="4"/>
        <v>12.5</v>
      </c>
      <c r="F24" s="12" t="str">
        <f t="shared" si="5"/>
        <v>NACA0012</v>
      </c>
    </row>
    <row r="25" spans="1:6" x14ac:dyDescent="0.25">
      <c r="A25" s="9">
        <f t="shared" si="0"/>
        <v>7</v>
      </c>
      <c r="B25" s="10">
        <f t="shared" si="1"/>
        <v>80</v>
      </c>
      <c r="C25" s="10">
        <f t="shared" si="2"/>
        <v>0.8</v>
      </c>
      <c r="D25" s="10">
        <f t="shared" si="3"/>
        <v>12.75</v>
      </c>
      <c r="E25" s="11">
        <f t="shared" si="4"/>
        <v>10</v>
      </c>
      <c r="F25" s="12" t="str">
        <f t="shared" si="5"/>
        <v>NACA0012</v>
      </c>
    </row>
    <row r="26" spans="1:6" x14ac:dyDescent="0.25">
      <c r="A26" s="9">
        <f t="shared" si="0"/>
        <v>8</v>
      </c>
      <c r="B26" s="10">
        <f t="shared" si="1"/>
        <v>90</v>
      </c>
      <c r="C26" s="10">
        <f t="shared" si="2"/>
        <v>0.9</v>
      </c>
      <c r="D26" s="10">
        <f t="shared" si="3"/>
        <v>10.875</v>
      </c>
      <c r="E26" s="11">
        <f t="shared" si="4"/>
        <v>7.5</v>
      </c>
      <c r="F26" s="12" t="str">
        <f t="shared" si="5"/>
        <v>NACA0012</v>
      </c>
    </row>
    <row r="27" spans="1:6" x14ac:dyDescent="0.25">
      <c r="A27" s="9">
        <f t="shared" si="0"/>
        <v>9</v>
      </c>
      <c r="B27" s="10">
        <f t="shared" si="1"/>
        <v>100</v>
      </c>
      <c r="C27" s="10">
        <f t="shared" si="2"/>
        <v>1</v>
      </c>
      <c r="D27" s="10">
        <f t="shared" si="3"/>
        <v>9</v>
      </c>
      <c r="E27" s="11">
        <f t="shared" si="4"/>
        <v>5</v>
      </c>
      <c r="F27" s="12" t="str">
        <f t="shared" si="5"/>
        <v>NACA0012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5"/>
  <sheetViews>
    <sheetView workbookViewId="0"/>
  </sheetViews>
  <sheetFormatPr defaultRowHeight="15" x14ac:dyDescent="0.25"/>
  <cols>
    <col min="1" max="2" width="12" customWidth="1"/>
  </cols>
  <sheetData>
    <row r="1" spans="1:2" ht="18.75" x14ac:dyDescent="0.3">
      <c r="A1" s="1" t="s">
        <v>28</v>
      </c>
    </row>
    <row r="2" spans="1:2" x14ac:dyDescent="0.25">
      <c r="A2" s="2" t="s">
        <v>29</v>
      </c>
    </row>
    <row r="4" spans="1:2" x14ac:dyDescent="0.25">
      <c r="A4" s="3" t="s">
        <v>30</v>
      </c>
      <c r="B4" s="3" t="s">
        <v>31</v>
      </c>
    </row>
    <row r="5" spans="1:2" x14ac:dyDescent="0.25">
      <c r="A5" s="13">
        <v>0</v>
      </c>
      <c r="B5" s="13">
        <v>0</v>
      </c>
    </row>
    <row r="6" spans="1:2" x14ac:dyDescent="0.25">
      <c r="A6" s="13">
        <v>1.5413331334360181E-3</v>
      </c>
      <c r="B6" s="13">
        <v>6.8767182393881113E-3</v>
      </c>
    </row>
    <row r="7" spans="1:2" x14ac:dyDescent="0.25">
      <c r="A7" s="13">
        <v>6.1558297024311148E-3</v>
      </c>
      <c r="B7" s="13">
        <v>1.3503368122554789E-2</v>
      </c>
    </row>
    <row r="8" spans="1:2" x14ac:dyDescent="0.25">
      <c r="A8" s="13">
        <v>1.381503980116172E-2</v>
      </c>
      <c r="B8" s="13">
        <v>1.9853879680377651E-2</v>
      </c>
    </row>
    <row r="9" spans="1:2" x14ac:dyDescent="0.25">
      <c r="A9" s="13">
        <v>2.4471741852423231E-2</v>
      </c>
      <c r="B9" s="13">
        <v>2.5893313174852849E-2</v>
      </c>
    </row>
    <row r="10" spans="1:2" x14ac:dyDescent="0.25">
      <c r="A10" s="13">
        <v>3.8060233744356631E-2</v>
      </c>
      <c r="B10" s="13">
        <v>3.1579720416678093E-2</v>
      </c>
    </row>
    <row r="11" spans="1:2" x14ac:dyDescent="0.25">
      <c r="A11" s="13">
        <v>5.4496737905816051E-2</v>
      </c>
      <c r="B11" s="13">
        <v>3.6866545943202211E-2</v>
      </c>
    </row>
    <row r="12" spans="1:2" x14ac:dyDescent="0.25">
      <c r="A12" s="13">
        <v>7.3679917822953911E-2</v>
      </c>
      <c r="B12" s="13">
        <v>4.1705390240290047E-2</v>
      </c>
    </row>
    <row r="13" spans="1:2" x14ac:dyDescent="0.25">
      <c r="A13" s="13">
        <v>9.5491502812526274E-2</v>
      </c>
      <c r="B13" s="13">
        <v>4.6048933169162663E-2</v>
      </c>
    </row>
    <row r="14" spans="1:2" x14ac:dyDescent="0.25">
      <c r="A14" s="13">
        <v>0.11979701719998451</v>
      </c>
      <c r="B14" s="13">
        <v>4.9853808436157082E-2</v>
      </c>
    </row>
    <row r="15" spans="1:2" x14ac:dyDescent="0.25">
      <c r="A15" s="13">
        <v>0.14644660940672621</v>
      </c>
      <c r="B15" s="13">
        <v>5.3083229668797832E-2</v>
      </c>
    </row>
    <row r="16" spans="1:2" x14ac:dyDescent="0.25">
      <c r="A16" s="13">
        <v>0.17527597583490809</v>
      </c>
      <c r="B16" s="13">
        <v>5.5709194277431262E-2</v>
      </c>
    </row>
    <row r="17" spans="1:2" x14ac:dyDescent="0.25">
      <c r="A17" s="13">
        <v>0.2061073738537634</v>
      </c>
      <c r="B17" s="13">
        <v>5.7714130243961298E-2</v>
      </c>
    </row>
    <row r="18" spans="1:2" x14ac:dyDescent="0.25">
      <c r="A18" s="13">
        <v>0.23875071764202549</v>
      </c>
      <c r="B18" s="13">
        <v>5.9091899606816538E-2</v>
      </c>
    </row>
    <row r="19" spans="1:2" x14ac:dyDescent="0.25">
      <c r="A19" s="13">
        <v>0.27300475013022663</v>
      </c>
      <c r="B19" s="13">
        <v>5.9848126237381713E-2</v>
      </c>
    </row>
    <row r="20" spans="1:2" x14ac:dyDescent="0.25">
      <c r="A20" s="13">
        <v>0.30865828381745508</v>
      </c>
      <c r="B20" s="13">
        <v>5.9999869695797459E-2</v>
      </c>
    </row>
    <row r="21" spans="1:2" x14ac:dyDescent="0.25">
      <c r="A21" s="13">
        <v>0.34549150281252627</v>
      </c>
      <c r="B21" s="13">
        <v>5.9574716765413573E-2</v>
      </c>
    </row>
    <row r="22" spans="1:2" x14ac:dyDescent="0.25">
      <c r="A22" s="13">
        <v>0.38327731807204718</v>
      </c>
      <c r="B22" s="13">
        <v>5.8609403466863448E-2</v>
      </c>
    </row>
    <row r="23" spans="1:2" x14ac:dyDescent="0.25">
      <c r="A23" s="13">
        <v>0.42178276747988452</v>
      </c>
      <c r="B23" s="13">
        <v>5.7148109616195729E-2</v>
      </c>
    </row>
    <row r="24" spans="1:2" x14ac:dyDescent="0.25">
      <c r="A24" s="13">
        <v>0.46077045213607748</v>
      </c>
      <c r="B24" s="13">
        <v>5.5240583178193157E-2</v>
      </c>
    </row>
    <row r="25" spans="1:2" x14ac:dyDescent="0.25">
      <c r="A25" s="13">
        <v>0.49999999999999989</v>
      </c>
      <c r="B25" s="13">
        <v>5.2940252000571578E-2</v>
      </c>
    </row>
    <row r="26" spans="1:2" x14ac:dyDescent="0.25">
      <c r="A26" s="13">
        <v>0.53922954786392241</v>
      </c>
      <c r="B26" s="13">
        <v>5.0302466626330762E-2</v>
      </c>
    </row>
    <row r="27" spans="1:2" x14ac:dyDescent="0.25">
      <c r="A27" s="13">
        <v>0.57821723252011525</v>
      </c>
      <c r="B27" s="13">
        <v>4.7382991710957952E-2</v>
      </c>
    </row>
    <row r="28" spans="1:2" x14ac:dyDescent="0.25">
      <c r="A28" s="13">
        <v>0.61672268192795265</v>
      </c>
      <c r="B28" s="13">
        <v>4.4236828154670643E-2</v>
      </c>
    </row>
    <row r="29" spans="1:2" x14ac:dyDescent="0.25">
      <c r="A29" s="13">
        <v>0.65450849718747373</v>
      </c>
      <c r="B29" s="13">
        <v>4.0917407211743591E-2</v>
      </c>
    </row>
    <row r="30" spans="1:2" x14ac:dyDescent="0.25">
      <c r="A30" s="13">
        <v>0.69134171618254481</v>
      </c>
      <c r="B30" s="13">
        <v>3.7476155765357011E-2</v>
      </c>
    </row>
    <row r="31" spans="1:2" x14ac:dyDescent="0.25">
      <c r="A31" s="13">
        <v>0.72699524986977337</v>
      </c>
      <c r="B31" s="13">
        <v>3.3962392838519158E-2</v>
      </c>
    </row>
    <row r="32" spans="1:2" x14ac:dyDescent="0.25">
      <c r="A32" s="13">
        <v>0.7612492823579744</v>
      </c>
      <c r="B32" s="13">
        <v>3.0423484999143428E-2</v>
      </c>
    </row>
    <row r="33" spans="1:2" x14ac:dyDescent="0.25">
      <c r="A33" s="13">
        <v>0.79389262614623646</v>
      </c>
      <c r="B33" s="13">
        <v>2.6905165571800119E-2</v>
      </c>
    </row>
    <row r="34" spans="1:2" x14ac:dyDescent="0.25">
      <c r="A34" s="13">
        <v>0.82472402416509172</v>
      </c>
      <c r="B34" s="13">
        <v>2.345191139064972E-2</v>
      </c>
    </row>
    <row r="35" spans="1:2" x14ac:dyDescent="0.25">
      <c r="A35" s="13">
        <v>0.85355339059327373</v>
      </c>
      <c r="B35" s="13">
        <v>2.0107271894279879E-2</v>
      </c>
    </row>
    <row r="36" spans="1:2" x14ac:dyDescent="0.25">
      <c r="A36" s="13">
        <v>0.88020298280001552</v>
      </c>
      <c r="B36" s="13">
        <v>1.6914058087469468E-2</v>
      </c>
    </row>
    <row r="37" spans="1:2" x14ac:dyDescent="0.25">
      <c r="A37" s="13">
        <v>0.90450849718747373</v>
      </c>
      <c r="B37" s="13">
        <v>1.391432151578623E-2</v>
      </c>
    </row>
    <row r="38" spans="1:2" x14ac:dyDescent="0.25">
      <c r="A38" s="13">
        <v>0.92632008217704609</v>
      </c>
      <c r="B38" s="13">
        <v>1.1149083183051779E-2</v>
      </c>
    </row>
    <row r="39" spans="1:2" x14ac:dyDescent="0.25">
      <c r="A39" s="13">
        <v>0.94550326209418389</v>
      </c>
      <c r="B39" s="13">
        <v>8.6578058817869449E-3</v>
      </c>
    </row>
    <row r="40" spans="1:2" x14ac:dyDescent="0.25">
      <c r="A40" s="13">
        <v>0.96193976625564337</v>
      </c>
      <c r="B40" s="13">
        <v>6.4776369828393578E-3</v>
      </c>
    </row>
    <row r="41" spans="1:2" x14ac:dyDescent="0.25">
      <c r="A41" s="13">
        <v>0.97552825814757682</v>
      </c>
      <c r="B41" s="13">
        <v>4.6424786977890342E-3</v>
      </c>
    </row>
    <row r="42" spans="1:2" x14ac:dyDescent="0.25">
      <c r="A42" s="13">
        <v>0.98618496019883828</v>
      </c>
      <c r="B42" s="13">
        <v>3.1819659920586489E-3</v>
      </c>
    </row>
    <row r="43" spans="1:2" x14ac:dyDescent="0.25">
      <c r="A43" s="13">
        <v>0.99384417029756889</v>
      </c>
      <c r="B43" s="13">
        <v>2.1204462685777909E-3</v>
      </c>
    </row>
    <row r="44" spans="1:2" x14ac:dyDescent="0.25">
      <c r="A44" s="13">
        <v>0.99845866686656404</v>
      </c>
      <c r="B44" s="13">
        <v>1.4760582588678409E-3</v>
      </c>
    </row>
    <row r="45" spans="1:2" x14ac:dyDescent="0.25">
      <c r="A45" s="13">
        <v>1</v>
      </c>
      <c r="B45" s="13">
        <v>1.2599999999999779E-3</v>
      </c>
    </row>
    <row r="46" spans="1:2" x14ac:dyDescent="0.25">
      <c r="A46" s="13">
        <v>1</v>
      </c>
      <c r="B46" s="13">
        <v>-1.2599999999999779E-3</v>
      </c>
    </row>
    <row r="47" spans="1:2" x14ac:dyDescent="0.25">
      <c r="A47" s="13">
        <v>0.99845866686656404</v>
      </c>
      <c r="B47" s="13">
        <v>-1.4760582588678409E-3</v>
      </c>
    </row>
    <row r="48" spans="1:2" x14ac:dyDescent="0.25">
      <c r="A48" s="13">
        <v>0.99384417029756889</v>
      </c>
      <c r="B48" s="13">
        <v>-2.1204462685777909E-3</v>
      </c>
    </row>
    <row r="49" spans="1:2" x14ac:dyDescent="0.25">
      <c r="A49" s="13">
        <v>0.98618496019883828</v>
      </c>
      <c r="B49" s="13">
        <v>-3.1819659920586489E-3</v>
      </c>
    </row>
    <row r="50" spans="1:2" x14ac:dyDescent="0.25">
      <c r="A50" s="13">
        <v>0.97552825814757682</v>
      </c>
      <c r="B50" s="13">
        <v>-4.6424786977890342E-3</v>
      </c>
    </row>
    <row r="51" spans="1:2" x14ac:dyDescent="0.25">
      <c r="A51" s="13">
        <v>0.96193976625564337</v>
      </c>
      <c r="B51" s="13">
        <v>-6.4776369828393578E-3</v>
      </c>
    </row>
    <row r="52" spans="1:2" x14ac:dyDescent="0.25">
      <c r="A52" s="13">
        <v>0.94550326209418389</v>
      </c>
      <c r="B52" s="13">
        <v>-8.6578058817869449E-3</v>
      </c>
    </row>
    <row r="53" spans="1:2" x14ac:dyDescent="0.25">
      <c r="A53" s="13">
        <v>0.92632008217704609</v>
      </c>
      <c r="B53" s="13">
        <v>-1.1149083183051779E-2</v>
      </c>
    </row>
    <row r="54" spans="1:2" x14ac:dyDescent="0.25">
      <c r="A54" s="13">
        <v>0.90450849718747373</v>
      </c>
      <c r="B54" s="13">
        <v>-1.391432151578623E-2</v>
      </c>
    </row>
    <row r="55" spans="1:2" x14ac:dyDescent="0.25">
      <c r="A55" s="13">
        <v>0.88020298280001552</v>
      </c>
      <c r="B55" s="13">
        <v>-1.6914058087469468E-2</v>
      </c>
    </row>
    <row r="56" spans="1:2" x14ac:dyDescent="0.25">
      <c r="A56" s="13">
        <v>0.85355339059327373</v>
      </c>
      <c r="B56" s="13">
        <v>-2.0107271894279879E-2</v>
      </c>
    </row>
    <row r="57" spans="1:2" x14ac:dyDescent="0.25">
      <c r="A57" s="13">
        <v>0.82472402416509172</v>
      </c>
      <c r="B57" s="13">
        <v>-2.345191139064972E-2</v>
      </c>
    </row>
    <row r="58" spans="1:2" x14ac:dyDescent="0.25">
      <c r="A58" s="13">
        <v>0.79389262614623646</v>
      </c>
      <c r="B58" s="13">
        <v>-2.6905165571800119E-2</v>
      </c>
    </row>
    <row r="59" spans="1:2" x14ac:dyDescent="0.25">
      <c r="A59" s="13">
        <v>0.7612492823579744</v>
      </c>
      <c r="B59" s="13">
        <v>-3.0423484999143428E-2</v>
      </c>
    </row>
    <row r="60" spans="1:2" x14ac:dyDescent="0.25">
      <c r="A60" s="13">
        <v>0.72699524986977337</v>
      </c>
      <c r="B60" s="13">
        <v>-3.3962392838519158E-2</v>
      </c>
    </row>
    <row r="61" spans="1:2" x14ac:dyDescent="0.25">
      <c r="A61" s="13">
        <v>0.69134171618254481</v>
      </c>
      <c r="B61" s="13">
        <v>-3.7476155765357011E-2</v>
      </c>
    </row>
    <row r="62" spans="1:2" x14ac:dyDescent="0.25">
      <c r="A62" s="13">
        <v>0.65450849718747373</v>
      </c>
      <c r="B62" s="13">
        <v>-4.0917407211743591E-2</v>
      </c>
    </row>
    <row r="63" spans="1:2" x14ac:dyDescent="0.25">
      <c r="A63" s="13">
        <v>0.61672268192795265</v>
      </c>
      <c r="B63" s="13">
        <v>-4.4236828154670643E-2</v>
      </c>
    </row>
    <row r="64" spans="1:2" x14ac:dyDescent="0.25">
      <c r="A64" s="13">
        <v>0.57821723252011525</v>
      </c>
      <c r="B64" s="13">
        <v>-4.7382991710957952E-2</v>
      </c>
    </row>
    <row r="65" spans="1:2" x14ac:dyDescent="0.25">
      <c r="A65" s="13">
        <v>0.53922954786392241</v>
      </c>
      <c r="B65" s="13">
        <v>-5.0302466626330762E-2</v>
      </c>
    </row>
    <row r="66" spans="1:2" x14ac:dyDescent="0.25">
      <c r="A66" s="13">
        <v>0.49999999999999989</v>
      </c>
      <c r="B66" s="13">
        <v>-5.2940252000571578E-2</v>
      </c>
    </row>
    <row r="67" spans="1:2" x14ac:dyDescent="0.25">
      <c r="A67" s="13">
        <v>0.46077045213607748</v>
      </c>
      <c r="B67" s="13">
        <v>-5.5240583178193157E-2</v>
      </c>
    </row>
    <row r="68" spans="1:2" x14ac:dyDescent="0.25">
      <c r="A68" s="13">
        <v>0.42178276747988452</v>
      </c>
      <c r="B68" s="13">
        <v>-5.7148109616195729E-2</v>
      </c>
    </row>
    <row r="69" spans="1:2" x14ac:dyDescent="0.25">
      <c r="A69" s="13">
        <v>0.38327731807204718</v>
      </c>
      <c r="B69" s="13">
        <v>-5.8609403466863448E-2</v>
      </c>
    </row>
    <row r="70" spans="1:2" x14ac:dyDescent="0.25">
      <c r="A70" s="13">
        <v>0.34549150281252627</v>
      </c>
      <c r="B70" s="13">
        <v>-5.9574716765413573E-2</v>
      </c>
    </row>
    <row r="71" spans="1:2" x14ac:dyDescent="0.25">
      <c r="A71" s="13">
        <v>0.30865828381745508</v>
      </c>
      <c r="B71" s="13">
        <v>-5.9999869695797459E-2</v>
      </c>
    </row>
    <row r="72" spans="1:2" x14ac:dyDescent="0.25">
      <c r="A72" s="13">
        <v>0.27300475013022663</v>
      </c>
      <c r="B72" s="13">
        <v>-5.9848126237381713E-2</v>
      </c>
    </row>
    <row r="73" spans="1:2" x14ac:dyDescent="0.25">
      <c r="A73" s="13">
        <v>0.23875071764202549</v>
      </c>
      <c r="B73" s="13">
        <v>-5.9091899606816538E-2</v>
      </c>
    </row>
    <row r="74" spans="1:2" x14ac:dyDescent="0.25">
      <c r="A74" s="13">
        <v>0.2061073738537634</v>
      </c>
      <c r="B74" s="13">
        <v>-5.7714130243961298E-2</v>
      </c>
    </row>
    <row r="75" spans="1:2" x14ac:dyDescent="0.25">
      <c r="A75" s="13">
        <v>0.17527597583490809</v>
      </c>
      <c r="B75" s="13">
        <v>-5.5709194277431262E-2</v>
      </c>
    </row>
    <row r="76" spans="1:2" x14ac:dyDescent="0.25">
      <c r="A76" s="13">
        <v>0.14644660940672621</v>
      </c>
      <c r="B76" s="13">
        <v>-5.3083229668797832E-2</v>
      </c>
    </row>
    <row r="77" spans="1:2" x14ac:dyDescent="0.25">
      <c r="A77" s="13">
        <v>0.11979701719998451</v>
      </c>
      <c r="B77" s="13">
        <v>-4.9853808436157082E-2</v>
      </c>
    </row>
    <row r="78" spans="1:2" x14ac:dyDescent="0.25">
      <c r="A78" s="13">
        <v>9.5491502812526274E-2</v>
      </c>
      <c r="B78" s="13">
        <v>-4.6048933169162663E-2</v>
      </c>
    </row>
    <row r="79" spans="1:2" x14ac:dyDescent="0.25">
      <c r="A79" s="13">
        <v>7.3679917822953911E-2</v>
      </c>
      <c r="B79" s="13">
        <v>-4.1705390240290047E-2</v>
      </c>
    </row>
    <row r="80" spans="1:2" x14ac:dyDescent="0.25">
      <c r="A80" s="13">
        <v>5.4496737905816051E-2</v>
      </c>
      <c r="B80" s="13">
        <v>-3.6866545943202211E-2</v>
      </c>
    </row>
    <row r="81" spans="1:2" x14ac:dyDescent="0.25">
      <c r="A81" s="13">
        <v>3.8060233744356631E-2</v>
      </c>
      <c r="B81" s="13">
        <v>-3.1579720416678093E-2</v>
      </c>
    </row>
    <row r="82" spans="1:2" x14ac:dyDescent="0.25">
      <c r="A82" s="13">
        <v>2.4471741852423231E-2</v>
      </c>
      <c r="B82" s="13">
        <v>-2.5893313174852849E-2</v>
      </c>
    </row>
    <row r="83" spans="1:2" x14ac:dyDescent="0.25">
      <c r="A83" s="13">
        <v>1.381503980116172E-2</v>
      </c>
      <c r="B83" s="13">
        <v>-1.9853879680377651E-2</v>
      </c>
    </row>
    <row r="84" spans="1:2" x14ac:dyDescent="0.25">
      <c r="A84" s="13">
        <v>6.1558297024311148E-3</v>
      </c>
      <c r="B84" s="13">
        <v>-1.3503368122554789E-2</v>
      </c>
    </row>
    <row r="85" spans="1:2" x14ac:dyDescent="0.25">
      <c r="A85" s="13">
        <v>1.5413331334360181E-3</v>
      </c>
      <c r="B85" s="13">
        <v>-6.8767182393881113E-3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Blade</vt:lpstr>
      <vt:lpstr>NACA0012 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Begg</cp:lastModifiedBy>
  <dcterms:modified xsi:type="dcterms:W3CDTF">2026-10-16T16:44:28Z</dcterms:modified>
</cp:coreProperties>
</file>